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HARIS LAPTOPS\Desktop\Projects\"/>
    </mc:Choice>
  </mc:AlternateContent>
  <bookViews>
    <workbookView xWindow="0" yWindow="0" windowWidth="18990" windowHeight="5670"/>
  </bookViews>
  <sheets>
    <sheet name="Invoice" sheetId="1" r:id="rId1"/>
    <sheet name="Purchase" sheetId="2" r:id="rId2"/>
    <sheet name="Sale" sheetId="3" r:id="rId3"/>
    <sheet name="Stock" sheetId="4" r:id="rId4"/>
    <sheet name="Sheet1" sheetId="5" r:id="rId5"/>
  </sheets>
  <definedNames>
    <definedName name="_xlnm._FilterDatabase" localSheetId="1" hidden="1">Purchase!$B$4:$B$7</definedName>
    <definedName name="_xlnm.Criteria" localSheetId="3">Stock!$H$3:$H$4</definedName>
    <definedName name="_xlnm.Extract" localSheetId="3">Stock!$B$3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0" i="1" l="1"/>
  <c r="K17" i="1"/>
  <c r="K18" i="1"/>
  <c r="K19" i="1"/>
  <c r="K20" i="1"/>
  <c r="K21" i="1"/>
  <c r="K22" i="1"/>
  <c r="K23" i="1"/>
  <c r="K24" i="1"/>
  <c r="K25" i="1"/>
  <c r="K26" i="1"/>
  <c r="H9" i="1"/>
  <c r="K27" i="1"/>
  <c r="K28" i="1" l="1"/>
  <c r="K30" i="1"/>
  <c r="K31" i="1"/>
  <c r="K32" i="1"/>
  <c r="K33" i="1"/>
  <c r="K34" i="1"/>
  <c r="K35" i="1"/>
  <c r="K36" i="1"/>
  <c r="K37" i="1"/>
  <c r="C4" i="4"/>
  <c r="D4" i="4" s="1"/>
  <c r="C5" i="4"/>
  <c r="C6" i="4"/>
  <c r="D6" i="4" s="1"/>
  <c r="C7" i="4"/>
  <c r="C8" i="4"/>
  <c r="D8" i="4" s="1"/>
  <c r="C9" i="4"/>
  <c r="D9" i="4" s="1"/>
  <c r="C10" i="4"/>
  <c r="D10" i="4" s="1"/>
  <c r="E7" i="4" l="1"/>
  <c r="D7" i="4"/>
  <c r="E4" i="4"/>
  <c r="F4" i="4" s="1"/>
  <c r="E10" i="4"/>
  <c r="F10" i="4" s="1"/>
  <c r="E6" i="4"/>
  <c r="F6" i="4" s="1"/>
  <c r="F5" i="4"/>
  <c r="E9" i="4"/>
  <c r="F9" i="4" s="1"/>
  <c r="E8" i="4"/>
  <c r="F8" i="4" s="1"/>
  <c r="C17" i="1"/>
  <c r="C18" i="1"/>
  <c r="C19" i="1"/>
  <c r="C20" i="1"/>
  <c r="C21" i="1"/>
  <c r="C22" i="1"/>
  <c r="C23" i="1"/>
  <c r="C24" i="1"/>
  <c r="C25" i="1"/>
  <c r="C26" i="1"/>
  <c r="F7" i="4" l="1"/>
  <c r="K16" i="1"/>
  <c r="C16" i="1"/>
  <c r="F16" i="1"/>
  <c r="H16" i="1" s="1"/>
  <c r="F17" i="1"/>
  <c r="H17" i="1" s="1"/>
  <c r="I17" i="1" s="1"/>
  <c r="F18" i="1"/>
  <c r="H18" i="1" s="1"/>
  <c r="I18" i="1" s="1"/>
  <c r="F19" i="1"/>
  <c r="F20" i="1"/>
  <c r="H20" i="1" s="1"/>
  <c r="I20" i="1" s="1"/>
  <c r="F21" i="1"/>
  <c r="F22" i="1"/>
  <c r="H22" i="1" s="1"/>
  <c r="I22" i="1" s="1"/>
  <c r="F23" i="1"/>
  <c r="F24" i="1"/>
  <c r="H24" i="1" s="1"/>
  <c r="I24" i="1" s="1"/>
  <c r="F25" i="1"/>
  <c r="F26" i="1"/>
  <c r="E16" i="1"/>
  <c r="E17" i="1"/>
  <c r="E18" i="1"/>
  <c r="E19" i="1"/>
  <c r="E20" i="1"/>
  <c r="E21" i="1"/>
  <c r="E22" i="1"/>
  <c r="E23" i="1"/>
  <c r="E24" i="1"/>
  <c r="E25" i="1"/>
  <c r="E26" i="1"/>
  <c r="H25" i="1" l="1"/>
  <c r="I25" i="1" s="1"/>
  <c r="H21" i="1"/>
  <c r="I21" i="1" s="1"/>
  <c r="H26" i="1"/>
  <c r="I26" i="1" s="1"/>
  <c r="H23" i="1"/>
  <c r="I23" i="1" s="1"/>
  <c r="H19" i="1"/>
  <c r="I19" i="1" s="1"/>
  <c r="I16" i="1"/>
  <c r="I28" i="1" l="1"/>
</calcChain>
</file>

<file path=xl/sharedStrings.xml><?xml version="1.0" encoding="utf-8"?>
<sst xmlns="http://schemas.openxmlformats.org/spreadsheetml/2006/main" count="121" uniqueCount="47">
  <si>
    <t>Customer Name</t>
  </si>
  <si>
    <t>complete adress</t>
  </si>
  <si>
    <t>Phone adress</t>
  </si>
  <si>
    <t>GSTIN</t>
  </si>
  <si>
    <t>Invoice No.</t>
  </si>
  <si>
    <t>Date</t>
  </si>
  <si>
    <t>ITHUB</t>
  </si>
  <si>
    <t>Customer details</t>
  </si>
  <si>
    <t>Subtotal</t>
  </si>
  <si>
    <t>Thank you</t>
  </si>
  <si>
    <t>Account</t>
  </si>
  <si>
    <t>Customers</t>
  </si>
  <si>
    <t>HSN code</t>
  </si>
  <si>
    <t>Item</t>
  </si>
  <si>
    <t>P Qty</t>
  </si>
  <si>
    <t>Sale rate</t>
  </si>
  <si>
    <t>Purchase Entry</t>
  </si>
  <si>
    <t>H21</t>
  </si>
  <si>
    <t>H22</t>
  </si>
  <si>
    <t>mouse</t>
  </si>
  <si>
    <t>keyboard</t>
  </si>
  <si>
    <t>S.No</t>
  </si>
  <si>
    <t>Invoice No</t>
  </si>
  <si>
    <t>HSN</t>
  </si>
  <si>
    <t>Rate</t>
  </si>
  <si>
    <t>GST 5%</t>
  </si>
  <si>
    <t>Amount</t>
  </si>
  <si>
    <t>Qty</t>
  </si>
  <si>
    <t>HSN CODE</t>
  </si>
  <si>
    <t>Purchase Qty</t>
  </si>
  <si>
    <t>Sale Qty</t>
  </si>
  <si>
    <t>In stock</t>
  </si>
  <si>
    <t>H23</t>
  </si>
  <si>
    <t>monitor</t>
  </si>
  <si>
    <t>item</t>
  </si>
  <si>
    <t>QAISER SHEHZAD</t>
  </si>
  <si>
    <t>P Rate</t>
  </si>
  <si>
    <t>h22</t>
  </si>
  <si>
    <t>h23</t>
  </si>
  <si>
    <t/>
  </si>
  <si>
    <t>NOTICE</t>
  </si>
  <si>
    <t>STOCK</t>
  </si>
  <si>
    <t>REFRESH</t>
  </si>
  <si>
    <t xml:space="preserve"> </t>
  </si>
  <si>
    <t>h21</t>
  </si>
  <si>
    <t>qaiser shehzad</t>
  </si>
  <si>
    <t>sgd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</si>
</sst>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/mm/yyyy;@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4">
    <xf numFmtId="0" fontId="0" fillId="0" borderId="0" xfId="0"/>
    <xf numFmtId="14" fontId="0" fillId="0" borderId="0" xfId="0" applyNumberFormat="1"/>
    <xf numFmtId="0" fontId="0" fillId="0" borderId="0" xfId="0" applyAlignment="1">
      <alignment horizontal="right"/>
    </xf>
    <xf numFmtId="0" fontId="0" fillId="0" borderId="1" xfId="0" applyBorder="1"/>
    <xf numFmtId="0" fontId="0" fillId="0" borderId="3" xfId="0" applyFill="1" applyBorder="1"/>
    <xf numFmtId="0" fontId="0" fillId="0" borderId="8" xfId="0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0" fillId="0" borderId="3" xfId="0" applyFill="1" applyBorder="1" applyAlignment="1">
      <alignment horizontal="left"/>
    </xf>
    <xf numFmtId="0" fontId="0" fillId="0" borderId="9" xfId="0" applyFill="1" applyBorder="1" applyAlignment="1">
      <alignment horizontal="center"/>
    </xf>
    <xf numFmtId="0" fontId="0" fillId="0" borderId="10" xfId="0" applyFill="1" applyBorder="1" applyAlignment="1">
      <alignment horizontal="center"/>
    </xf>
    <xf numFmtId="0" fontId="0" fillId="0" borderId="11" xfId="0" applyFill="1" applyBorder="1" applyAlignment="1">
      <alignment horizontal="center"/>
    </xf>
    <xf numFmtId="0" fontId="0" fillId="0" borderId="11" xfId="0" applyFill="1" applyBorder="1" applyAlignment="1">
      <alignment horizontal="left"/>
    </xf>
    <xf numFmtId="0" fontId="0" fillId="0" borderId="12" xfId="0" applyFill="1" applyBorder="1" applyAlignment="1">
      <alignment horizontal="center"/>
    </xf>
    <xf numFmtId="0" fontId="1" fillId="0" borderId="0" xfId="0" applyFont="1" applyFill="1" applyBorder="1"/>
    <xf numFmtId="0" fontId="0" fillId="0" borderId="8" xfId="0" applyFill="1" applyBorder="1"/>
    <xf numFmtId="14" fontId="0" fillId="0" borderId="3" xfId="0" applyNumberFormat="1" applyFill="1" applyBorder="1"/>
    <xf numFmtId="0" fontId="0" fillId="0" borderId="9" xfId="0" applyFill="1" applyBorder="1"/>
    <xf numFmtId="0" fontId="0" fillId="0" borderId="10" xfId="0" applyFill="1" applyBorder="1"/>
    <xf numFmtId="14" fontId="0" fillId="0" borderId="11" xfId="0" applyNumberFormat="1" applyFill="1" applyBorder="1"/>
    <xf numFmtId="0" fontId="0" fillId="0" borderId="11" xfId="0" applyFill="1" applyBorder="1"/>
    <xf numFmtId="0" fontId="0" fillId="0" borderId="12" xfId="0" applyFill="1" applyBorder="1"/>
    <xf numFmtId="0" fontId="1" fillId="5" borderId="3" xfId="0" applyFont="1" applyFill="1" applyBorder="1"/>
    <xf numFmtId="0" fontId="0" fillId="4" borderId="4" xfId="0" applyFill="1" applyBorder="1"/>
    <xf numFmtId="0" fontId="5" fillId="4" borderId="5" xfId="0" applyFont="1" applyFill="1" applyBorder="1"/>
    <xf numFmtId="0" fontId="5" fillId="4" borderId="6" xfId="0" applyFont="1" applyFill="1" applyBorder="1"/>
    <xf numFmtId="0" fontId="5" fillId="4" borderId="6" xfId="0" applyFont="1" applyFill="1" applyBorder="1" applyAlignment="1">
      <alignment horizontal="center"/>
    </xf>
    <xf numFmtId="0" fontId="5" fillId="4" borderId="7" xfId="0" applyFont="1" applyFill="1" applyBorder="1"/>
    <xf numFmtId="0" fontId="0" fillId="4" borderId="5" xfId="0" applyFill="1" applyBorder="1"/>
    <xf numFmtId="0" fontId="0" fillId="4" borderId="6" xfId="0" applyFill="1" applyBorder="1" applyAlignment="1">
      <alignment horizontal="center"/>
    </xf>
    <xf numFmtId="0" fontId="0" fillId="4" borderId="6" xfId="0" applyFill="1" applyBorder="1"/>
    <xf numFmtId="0" fontId="0" fillId="4" borderId="7" xfId="0" applyFill="1" applyBorder="1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4" fillId="0" borderId="0" xfId="0" applyFont="1" applyFill="1" applyBorder="1"/>
    <xf numFmtId="0" fontId="6" fillId="0" borderId="0" xfId="0" applyFont="1"/>
    <xf numFmtId="0" fontId="8" fillId="0" borderId="0" xfId="0" applyFont="1" applyAlignment="1">
      <alignment horizontal="center"/>
    </xf>
    <xf numFmtId="0" fontId="8" fillId="0" borderId="0" xfId="0" applyFont="1" applyAlignment="1"/>
    <xf numFmtId="0" fontId="7" fillId="0" borderId="13" xfId="0" applyFont="1" applyBorder="1"/>
    <xf numFmtId="0" fontId="0" fillId="0" borderId="3" xfId="0" applyFill="1" applyBorder="1" applyAlignment="1">
      <alignment horizontal="right"/>
    </xf>
    <xf numFmtId="0" fontId="0" fillId="0" borderId="0" xfId="0" applyBorder="1"/>
    <xf numFmtId="0" fontId="2" fillId="4" borderId="0" xfId="0" applyFont="1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0" fillId="0" borderId="0" xfId="0" applyAlignment="1">
      <alignment horizontal="right"/>
    </xf>
    <xf numFmtId="0" fontId="0" fillId="0" borderId="1" xfId="0" applyBorder="1" applyAlignment="1">
      <alignment horizontal="left" indent="1"/>
    </xf>
    <xf numFmtId="0" fontId="0" fillId="0" borderId="2" xfId="0" applyBorder="1" applyAlignment="1">
      <alignment horizontal="left" indent="1"/>
    </xf>
    <xf numFmtId="0" fontId="0" fillId="0" borderId="2" xfId="0" applyBorder="1" applyAlignment="1">
      <alignment horizontal="center"/>
    </xf>
    <xf numFmtId="164" fontId="1" fillId="6" borderId="2" xfId="0" applyNumberFormat="1" applyFont="1" applyFill="1" applyBorder="1" applyAlignment="1">
      <alignment horizontal="left" indent="1"/>
    </xf>
    <xf numFmtId="0" fontId="0" fillId="0" borderId="0" xfId="0" applyAlignment="1">
      <alignment horizontal="center"/>
    </xf>
    <xf numFmtId="0" fontId="3" fillId="4" borderId="0" xfId="0" applyFont="1" applyFill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3" borderId="0" xfId="0" applyFill="1" applyAlignment="1">
      <alignment horizontal="center"/>
    </xf>
    <xf numFmtId="0" fontId="0" fillId="0" borderId="1" xfId="0" applyFont="1" applyBorder="1" applyAlignment="1">
      <alignment horizontal="center"/>
    </xf>
    <xf numFmtId="0" fontId="0" fillId="2" borderId="0" xfId="0" applyFill="1" applyAlignment="1">
      <alignment horizontal="center"/>
    </xf>
    <xf numFmtId="0" fontId="9" fillId="4" borderId="0" xfId="0" applyFont="1" applyFill="1" applyAlignment="1">
      <alignment horizontal="center"/>
    </xf>
  </cellXfs>
  <cellStyles count="1">
    <cellStyle name="Normal" xfId="0" builtinId="0"/>
  </cellStyles>
  <dxfs count="46">
    <dxf>
      <numFmt numFmtId="0" formatCode="General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4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0" tint="-4.9989318521683403E-2"/>
        <name val="Calibri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0" tint="-4.9989318521683403E-2"/>
        <name val="Calibri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0" tint="-4.9989318521683403E-2"/>
        <name val="Calibri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0" tint="-4.9989318521683403E-2"/>
        <name val="Calibri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0" tint="-4.9989318521683403E-2"/>
        <name val="Calibri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0" tint="-4.9989318521683403E-2"/>
        <name val="Calibri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0" tint="-4.9989318521683403E-2"/>
        <name val="Calibri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0" tint="-4.9989318521683403E-2"/>
        <name val="Calibri"/>
        <scheme val="minor"/>
      </font>
      <fill>
        <patternFill patternType="none">
          <fgColor indexed="64"/>
          <bgColor auto="1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0" tint="-4.9989318521683403E-2"/>
        <name val="Calibri"/>
        <scheme val="minor"/>
      </font>
      <fill>
        <patternFill patternType="none">
          <fgColor indexed="64"/>
          <bgColor auto="1"/>
        </patternFill>
      </fill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4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  <dxf>
      <border>
        <bottom style="thin">
          <color indexed="64"/>
        </bottom>
      </border>
    </dxf>
    <dxf>
      <fill>
        <patternFill patternType="solid">
          <fgColor indexed="64"/>
          <bgColor theme="4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4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31750</xdr:colOff>
      <xdr:row>3</xdr:row>
      <xdr:rowOff>50800</xdr:rowOff>
    </xdr:from>
    <xdr:to>
      <xdr:col>14</xdr:col>
      <xdr:colOff>0</xdr:colOff>
      <xdr:row>6</xdr:row>
      <xdr:rowOff>25400</xdr:rowOff>
    </xdr:to>
    <xdr:sp macro="[0]!Macro2" textlink="">
      <xdr:nvSpPr>
        <xdr:cNvPr id="2" name="Rectangle 1"/>
        <xdr:cNvSpPr/>
      </xdr:nvSpPr>
      <xdr:spPr>
        <a:xfrm>
          <a:off x="7004050" y="603250"/>
          <a:ext cx="2406650" cy="5270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GB" sz="1800"/>
            <a:t>   Save invoice entry</a:t>
          </a:r>
        </a:p>
      </xdr:txBody>
    </xdr:sp>
    <xdr:clientData/>
  </xdr:twoCellAnchor>
  <xdr:twoCellAnchor>
    <xdr:from>
      <xdr:col>10</xdr:col>
      <xdr:colOff>25400</xdr:colOff>
      <xdr:row>8</xdr:row>
      <xdr:rowOff>6350</xdr:rowOff>
    </xdr:from>
    <xdr:to>
      <xdr:col>13</xdr:col>
      <xdr:colOff>603250</xdr:colOff>
      <xdr:row>10</xdr:row>
      <xdr:rowOff>165100</xdr:rowOff>
    </xdr:to>
    <xdr:sp macro="[0]!saveinvoice" textlink="">
      <xdr:nvSpPr>
        <xdr:cNvPr id="3" name="Rectangle 2"/>
        <xdr:cNvSpPr/>
      </xdr:nvSpPr>
      <xdr:spPr>
        <a:xfrm>
          <a:off x="6997700" y="1479550"/>
          <a:ext cx="2406650" cy="5270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GB" sz="1800"/>
            <a:t>   Save &amp; Print Invoice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571500</xdr:colOff>
      <xdr:row>0</xdr:row>
      <xdr:rowOff>12701</xdr:rowOff>
    </xdr:from>
    <xdr:to>
      <xdr:col>8</xdr:col>
      <xdr:colOff>63500</xdr:colOff>
      <xdr:row>5</xdr:row>
      <xdr:rowOff>44451</xdr:rowOff>
    </xdr:to>
    <xdr:pic macro="[0]!Macro1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61000" y="12701"/>
          <a:ext cx="1003300" cy="965200"/>
        </a:xfrm>
        <a:prstGeom prst="rect">
          <a:avLst/>
        </a:prstGeom>
      </xdr:spPr>
    </xdr:pic>
    <xdr:clientData/>
  </xdr:twoCellAnchor>
  <xdr:twoCellAnchor>
    <xdr:from>
      <xdr:col>7</xdr:col>
      <xdr:colOff>285750</xdr:colOff>
      <xdr:row>5</xdr:row>
      <xdr:rowOff>171450</xdr:rowOff>
    </xdr:from>
    <xdr:to>
      <xdr:col>7</xdr:col>
      <xdr:colOff>440182</xdr:colOff>
      <xdr:row>11</xdr:row>
      <xdr:rowOff>25400</xdr:rowOff>
    </xdr:to>
    <xdr:sp macro="" textlink="">
      <xdr:nvSpPr>
        <xdr:cNvPr id="4" name="Up Arrow 3"/>
        <xdr:cNvSpPr/>
      </xdr:nvSpPr>
      <xdr:spPr>
        <a:xfrm>
          <a:off x="5784850" y="1104900"/>
          <a:ext cx="154432" cy="958850"/>
        </a:xfrm>
        <a:prstGeom prst="up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tables/table1.xml><?xml version="1.0" encoding="utf-8"?>
<table xmlns="http://schemas.openxmlformats.org/spreadsheetml/2006/main" id="1" name="Table1" displayName="Table1" ref="B15:I26" totalsRowShown="0" headerRowDxfId="45" dataDxfId="43" headerRowBorderDxfId="44" tableBorderDxfId="42" totalsRowBorderDxfId="41">
  <autoFilter ref="B15:I26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name="S.No" dataDxfId="40"/>
    <tableColumn id="2" name="Invoice No" dataDxfId="39">
      <calculatedColumnFormula>IF(Table1[[#This Row],[HSN]]="","",$H$9)</calculatedColumnFormula>
    </tableColumn>
    <tableColumn id="3" name="HSN" dataDxfId="38"/>
    <tableColumn id="4" name="Item" dataDxfId="37">
      <calculatedColumnFormula>IFERROR(VLOOKUP(Table1[[#This Row],[HSN]],Table2[],3,0),"")</calculatedColumnFormula>
    </tableColumn>
    <tableColumn id="5" name="Rate" dataDxfId="36">
      <calculatedColumnFormula>IFERROR(VLOOKUP(Table1[[#This Row],[HSN]],Table2[],6,0),"")</calculatedColumnFormula>
    </tableColumn>
    <tableColumn id="6" name="Qty" dataDxfId="35"/>
    <tableColumn id="7" name="GST 5%" dataDxfId="34">
      <calculatedColumnFormula>IFERROR(Table1[[#This Row],[Rate]]*Table1[[#This Row],[Qty]]*5%,"")</calculatedColumnFormula>
    </tableColumn>
    <tableColumn id="8" name="Amount" dataDxfId="33">
      <calculatedColumnFormula>IFERROR(Table1[[#This Row],[Rate]]*Table1[[#This Row],[Qty]]+Table1[[#This Row],[GST 5%]],"")</calculatedColumnFormula>
    </tableColumn>
  </tableColumns>
  <tableStyleInfo name="TableStyleLight1" showFirstColumn="0" showLastColumn="0" showRowStripes="0" showColumnStripes="0"/>
</table>
</file>

<file path=xl/tables/table2.xml><?xml version="1.0" encoding="utf-8"?>
<table xmlns="http://schemas.openxmlformats.org/spreadsheetml/2006/main" id="2" name="Table2" displayName="Table2" ref="B4:G7" totalsRowShown="0" headerRowDxfId="32" dataDxfId="30" headerRowBorderDxfId="31" tableBorderDxfId="29" totalsRowBorderDxfId="28">
  <tableColumns count="6">
    <tableColumn id="1" name="HSN code" dataDxfId="27"/>
    <tableColumn id="2" name="Date" dataDxfId="26"/>
    <tableColumn id="3" name="Item" dataDxfId="25"/>
    <tableColumn id="4" name="P Rate" dataDxfId="24"/>
    <tableColumn id="5" name="P Qty" dataDxfId="23"/>
    <tableColumn id="6" name="Sale rate" dataDxfId="22"/>
  </tableColumns>
  <tableStyleInfo name="TableStyleLight1" showFirstColumn="0" showLastColumn="0" showRowStripes="0" showColumnStripes="0"/>
</table>
</file>

<file path=xl/tables/table3.xml><?xml version="1.0" encoding="utf-8"?>
<table xmlns="http://schemas.openxmlformats.org/spreadsheetml/2006/main" id="9" name="Table9" displayName="Table9" ref="B3:I19" totalsRowShown="0" headerRowDxfId="21" dataDxfId="19" headerRowBorderDxfId="20" tableBorderDxfId="18" totalsRowBorderDxfId="17">
  <autoFilter ref="B3:I19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name="S.No" dataDxfId="16"/>
    <tableColumn id="2" name="Invoice No" dataDxfId="15"/>
    <tableColumn id="3" name="HSN" dataDxfId="14"/>
    <tableColumn id="4" name="Item" dataDxfId="13"/>
    <tableColumn id="5" name="Rate" dataDxfId="12"/>
    <tableColumn id="6" name="Qty" dataDxfId="11"/>
    <tableColumn id="7" name="GST 5%" dataDxfId="10"/>
    <tableColumn id="8" name="Amount" dataDxfId="9"/>
  </tableColumns>
  <tableStyleInfo name="TableStyleMedium2" showFirstColumn="0" showLastColumn="0" showRowStripes="0" showColumnStripes="0"/>
</table>
</file>

<file path=xl/tables/table4.xml><?xml version="1.0" encoding="utf-8"?>
<table xmlns="http://schemas.openxmlformats.org/spreadsheetml/2006/main" id="3" name="Table3" displayName="Table3" ref="B3:F10" totalsRowShown="0" headerRowDxfId="8" dataDxfId="6" headerRowBorderDxfId="7" tableBorderDxfId="5">
  <tableColumns count="5">
    <tableColumn id="1" name="HSN CODE" dataDxfId="4"/>
    <tableColumn id="2" name="item" dataDxfId="3">
      <calculatedColumnFormula>IFERROR(VLOOKUP(Table3[[#This Row],[HSN CODE]],Table2[],3,0),"")</calculatedColumnFormula>
    </tableColumn>
    <tableColumn id="3" name="Purchase Qty" dataDxfId="2">
      <calculatedColumnFormula>SUMIF(Table2[Item],Table3[[#This Row],[item]],Table2[P Qty])</calculatedColumnFormula>
    </tableColumn>
    <tableColumn id="4" name="Sale Qty" dataDxfId="1">
      <calculatedColumnFormula>IFERROR(SUMIF(Table9[Item],Table3[[#This Row],[item]],Table9[Qty]),"")</calculatedColumnFormula>
    </tableColumn>
    <tableColumn id="5" name="In stock" dataDxfId="0">
      <calculatedColumnFormula>Table3[[#This Row],[Purchase Qty]]-Table3[[#This Row],[Sale Qty]]</calculatedColumnFormula>
    </tableColumn>
  </tableColumns>
  <tableStyleInfo name="TableStyleLight1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3:K37"/>
  <sheetViews>
    <sheetView tabSelected="1" zoomScaleNormal="100" workbookViewId="0">
      <selection activeCell="D11" sqref="D11:E11"/>
    </sheetView>
  </sheetViews>
  <sheetFormatPr defaultRowHeight="14.5" x14ac:dyDescent="0.35"/>
  <cols>
    <col min="2" max="3" width="10.26953125" customWidth="1"/>
    <col min="4" max="4" width="10.453125" bestFit="1" customWidth="1"/>
    <col min="5" max="9" width="10.26953125" customWidth="1"/>
    <col min="10" max="10" width="1.26953125" customWidth="1"/>
  </cols>
  <sheetData>
    <row r="3" spans="2:11" x14ac:dyDescent="0.35">
      <c r="B3" s="40" t="s">
        <v>6</v>
      </c>
      <c r="C3" s="40"/>
      <c r="D3" s="40"/>
      <c r="E3" s="40"/>
      <c r="F3" s="40"/>
      <c r="G3" s="40"/>
      <c r="H3" s="40"/>
      <c r="I3" s="40"/>
    </row>
    <row r="4" spans="2:11" x14ac:dyDescent="0.35">
      <c r="B4" s="40"/>
      <c r="C4" s="40"/>
      <c r="D4" s="40"/>
      <c r="E4" s="40"/>
      <c r="F4" s="40"/>
      <c r="G4" s="40"/>
      <c r="H4" s="40"/>
      <c r="I4" s="40"/>
    </row>
    <row r="5" spans="2:11" x14ac:dyDescent="0.35">
      <c r="B5" s="41" t="s">
        <v>35</v>
      </c>
      <c r="C5" s="41"/>
      <c r="D5" s="41"/>
      <c r="E5" s="41"/>
      <c r="F5" s="41"/>
      <c r="G5" s="41"/>
      <c r="H5" s="41"/>
      <c r="I5" s="41"/>
    </row>
    <row r="6" spans="2:11" x14ac:dyDescent="0.35">
      <c r="B6" s="47"/>
      <c r="C6" s="47"/>
      <c r="D6" s="1"/>
    </row>
    <row r="7" spans="2:11" x14ac:dyDescent="0.35">
      <c r="B7" s="41" t="s">
        <v>7</v>
      </c>
      <c r="C7" s="41"/>
      <c r="D7" s="41"/>
      <c r="E7" s="41"/>
      <c r="F7" s="41"/>
      <c r="G7" s="41"/>
      <c r="H7" s="41"/>
      <c r="I7" s="41"/>
    </row>
    <row r="8" spans="2:11" ht="14.5" customHeight="1" x14ac:dyDescent="0.35"/>
    <row r="9" spans="2:11" x14ac:dyDescent="0.35">
      <c r="B9" s="42" t="s">
        <v>0</v>
      </c>
      <c r="C9" s="42"/>
      <c r="D9" s="43" t="s">
        <v>45</v>
      </c>
      <c r="E9" s="43"/>
      <c r="G9" s="2" t="s">
        <v>4</v>
      </c>
      <c r="H9" s="43">
        <f>MAX(Sale!C4:C19)+1</f>
        <v>7</v>
      </c>
      <c r="I9" s="43"/>
    </row>
    <row r="10" spans="2:11" x14ac:dyDescent="0.35">
      <c r="B10" s="42" t="s">
        <v>1</v>
      </c>
      <c r="C10" s="42"/>
      <c r="D10" s="44" t="s">
        <v>46</v>
      </c>
      <c r="E10" s="44"/>
      <c r="G10" s="2" t="s">
        <v>5</v>
      </c>
      <c r="H10" s="46">
        <f ca="1">TODAY()</f>
        <v>45665</v>
      </c>
      <c r="I10" s="46"/>
    </row>
    <row r="11" spans="2:11" x14ac:dyDescent="0.35">
      <c r="B11" s="42" t="s">
        <v>2</v>
      </c>
      <c r="C11" s="42"/>
      <c r="D11" s="44">
        <v>923046177376</v>
      </c>
      <c r="E11" s="44"/>
    </row>
    <row r="12" spans="2:11" x14ac:dyDescent="0.35">
      <c r="B12" s="42" t="s">
        <v>3</v>
      </c>
      <c r="C12" s="42"/>
      <c r="D12" s="45"/>
      <c r="E12" s="45"/>
    </row>
    <row r="14" spans="2:11" ht="15" thickBot="1" x14ac:dyDescent="0.4"/>
    <row r="15" spans="2:11" ht="16" thickBot="1" x14ac:dyDescent="0.4">
      <c r="B15" s="27" t="s">
        <v>21</v>
      </c>
      <c r="C15" s="28" t="s">
        <v>22</v>
      </c>
      <c r="D15" s="29" t="s">
        <v>23</v>
      </c>
      <c r="E15" s="29" t="s">
        <v>13</v>
      </c>
      <c r="F15" s="29" t="s">
        <v>24</v>
      </c>
      <c r="G15" s="29" t="s">
        <v>27</v>
      </c>
      <c r="H15" s="29" t="s">
        <v>25</v>
      </c>
      <c r="I15" s="30" t="s">
        <v>26</v>
      </c>
      <c r="K15" s="37" t="s">
        <v>40</v>
      </c>
    </row>
    <row r="16" spans="2:11" x14ac:dyDescent="0.35">
      <c r="B16" s="5">
        <v>1</v>
      </c>
      <c r="C16" s="6">
        <f>IF(Table1[[#This Row],[HSN]]="","",$H$9)</f>
        <v>7</v>
      </c>
      <c r="D16" s="7" t="s">
        <v>44</v>
      </c>
      <c r="E16" s="6" t="str">
        <f>IFERROR(VLOOKUP(Table1[[#This Row],[HSN]],Table2[],3,0),"")</f>
        <v>mouse</v>
      </c>
      <c r="F16" s="6">
        <f>IFERROR(VLOOKUP(Table1[[#This Row],[HSN]],Table2[],6,0),"")</f>
        <v>170</v>
      </c>
      <c r="G16" s="6">
        <v>400</v>
      </c>
      <c r="H16" s="6">
        <f>IFERROR(Table1[[#This Row],[Rate]]*Table1[[#This Row],[Qty]]*5%,"")</f>
        <v>3400</v>
      </c>
      <c r="I16" s="8">
        <f>IFERROR(Table1[[#This Row],[Rate]]*Table1[[#This Row],[Qty]]+Table1[[#This Row],[GST 5%]],"")</f>
        <v>71400</v>
      </c>
      <c r="K16" s="34" t="str">
        <f>IFERROR(IF(VLOOKUP(Table1[[#This Row],[HSN]],Table3[],5,0)&lt;Table1[[#This Row],[Qty]],"OUT OF STOCK ! "&amp;VLOOKUP(Table1[[#This Row],[HSN]],Table3[],5,0)&amp;" REMAINING QUANITITY",""),"")</f>
        <v>OUT OF STOCK ! 166 REMAINING QUANITITY</v>
      </c>
    </row>
    <row r="17" spans="2:11" x14ac:dyDescent="0.35">
      <c r="B17" s="5"/>
      <c r="C17" s="6" t="str">
        <f>IF(Table1[[#This Row],[HSN]]="","",$H$9)</f>
        <v/>
      </c>
      <c r="D17" s="7"/>
      <c r="E17" s="6" t="str">
        <f>IFERROR(VLOOKUP(Table1[[#This Row],[HSN]],Table2[],3,0),"")</f>
        <v/>
      </c>
      <c r="F17" s="6" t="str">
        <f>IFERROR(VLOOKUP(Table1[[#This Row],[HSN]],Table2[],6,0),"")</f>
        <v/>
      </c>
      <c r="G17" s="6"/>
      <c r="H17" s="6" t="str">
        <f>IFERROR(Table1[[#This Row],[Rate]]*Table1[[#This Row],[Qty]]*5%,"")</f>
        <v/>
      </c>
      <c r="I17" s="8" t="str">
        <f>IFERROR(Table1[[#This Row],[Rate]]*Table1[[#This Row],[Qty]]+Table1[[#This Row],[GST 5%]],"")</f>
        <v/>
      </c>
      <c r="K17" s="34" t="str">
        <f>IFERROR(IF(VLOOKUP(Table1[[#This Row],[HSN]],Table3[],5,0)&lt;Table1[[#This Row],[Qty]],"OUT OF STOCK ! "&amp;VLOOKUP(Table1[[#This Row],[HSN]],Table3[],5,0)&amp;" REMAINING QUANITITY",""),"")</f>
        <v/>
      </c>
    </row>
    <row r="18" spans="2:11" x14ac:dyDescent="0.35">
      <c r="B18" s="5"/>
      <c r="C18" s="6" t="str">
        <f>IF(Table1[[#This Row],[HSN]]="","",$H$9)</f>
        <v/>
      </c>
      <c r="D18" s="7"/>
      <c r="E18" s="6" t="str">
        <f>IFERROR(VLOOKUP(Table1[[#This Row],[HSN]],Table2[],3,0),"")</f>
        <v/>
      </c>
      <c r="F18" s="6" t="str">
        <f>IFERROR(VLOOKUP(Table1[[#This Row],[HSN]],Table2[],6,0),"")</f>
        <v/>
      </c>
      <c r="G18" s="6"/>
      <c r="H18" s="6" t="str">
        <f>IFERROR(Table1[[#This Row],[Rate]]*Table1[[#This Row],[Qty]]*5%,"")</f>
        <v/>
      </c>
      <c r="I18" s="8" t="str">
        <f>IFERROR(Table1[[#This Row],[Rate]]*Table1[[#This Row],[Qty]]+Table1[[#This Row],[GST 5%]],"")</f>
        <v/>
      </c>
      <c r="K18" s="34" t="str">
        <f>IFERROR(IF(VLOOKUP(Table1[[#This Row],[HSN]],Table3[],5,0)&lt;Table1[[#This Row],[Qty]],"OUT OF STOCK ! "&amp;VLOOKUP(Table1[[#This Row],[HSN]],Table3[],5,0)&amp;" REMAINING QUANITITY",""),"")</f>
        <v/>
      </c>
    </row>
    <row r="19" spans="2:11" x14ac:dyDescent="0.35">
      <c r="B19" s="5"/>
      <c r="C19" s="6" t="str">
        <f>IF(Table1[[#This Row],[HSN]]="","",$H$9)</f>
        <v/>
      </c>
      <c r="D19" s="7"/>
      <c r="E19" s="6" t="str">
        <f>IFERROR(VLOOKUP(Table1[[#This Row],[HSN]],Table2[],3,0),"")</f>
        <v/>
      </c>
      <c r="F19" s="6" t="str">
        <f>IFERROR(VLOOKUP(Table1[[#This Row],[HSN]],Table2[],6,0),"")</f>
        <v/>
      </c>
      <c r="G19" s="6"/>
      <c r="H19" s="6" t="str">
        <f>IFERROR(Table1[[#This Row],[Rate]]*Table1[[#This Row],[Qty]]*5%,"")</f>
        <v/>
      </c>
      <c r="I19" s="8" t="str">
        <f>IFERROR(Table1[[#This Row],[Rate]]*Table1[[#This Row],[Qty]]+Table1[[#This Row],[GST 5%]],"")</f>
        <v/>
      </c>
      <c r="K19" s="34" t="str">
        <f>IFERROR(IF(VLOOKUP(Table1[[#This Row],[HSN]],Table3[],5,0)&lt;Table1[[#This Row],[Qty]],"OUT OF STOCK ! "&amp;VLOOKUP(Table1[[#This Row],[HSN]],Table3[],5,0)&amp;" REMAINING QUANITITY",""),"")</f>
        <v/>
      </c>
    </row>
    <row r="20" spans="2:11" x14ac:dyDescent="0.35">
      <c r="B20" s="5"/>
      <c r="C20" s="6" t="str">
        <f>IF(Table1[[#This Row],[HSN]]="","",$H$9)</f>
        <v/>
      </c>
      <c r="D20" s="7"/>
      <c r="E20" s="6" t="str">
        <f>IFERROR(VLOOKUP(Table1[[#This Row],[HSN]],Table2[],3,0),"")</f>
        <v/>
      </c>
      <c r="F20" s="6" t="str">
        <f>IFERROR(VLOOKUP(Table1[[#This Row],[HSN]],Table2[],6,0),"")</f>
        <v/>
      </c>
      <c r="G20" s="6"/>
      <c r="H20" s="6" t="str">
        <f>IFERROR(Table1[[#This Row],[Rate]]*Table1[[#This Row],[Qty]]*5%,"")</f>
        <v/>
      </c>
      <c r="I20" s="8" t="str">
        <f>IFERROR(Table1[[#This Row],[Rate]]*Table1[[#This Row],[Qty]]+Table1[[#This Row],[GST 5%]],"")</f>
        <v/>
      </c>
      <c r="K20" s="34" t="str">
        <f>IFERROR(IF(VLOOKUP(Table1[[#This Row],[HSN]],Table3[],5,0)&lt;Table1[[#This Row],[Qty]],"OUT OF STOCK ! "&amp;VLOOKUP(Table1[[#This Row],[HSN]],Table3[],5,0)&amp;" REMAINING QUANITITY",""),"")</f>
        <v/>
      </c>
    </row>
    <row r="21" spans="2:11" x14ac:dyDescent="0.35">
      <c r="B21" s="5"/>
      <c r="C21" s="6" t="str">
        <f>IF(Table1[[#This Row],[HSN]]="","",$H$9)</f>
        <v/>
      </c>
      <c r="D21" s="7"/>
      <c r="E21" s="6" t="str">
        <f>IFERROR(VLOOKUP(Table1[[#This Row],[HSN]],Table2[],3,0),"")</f>
        <v/>
      </c>
      <c r="F21" s="6" t="str">
        <f>IFERROR(VLOOKUP(Table1[[#This Row],[HSN]],Table2[],6,0),"")</f>
        <v/>
      </c>
      <c r="G21" s="6"/>
      <c r="H21" s="6" t="str">
        <f>IFERROR(Table1[[#This Row],[Rate]]*Table1[[#This Row],[Qty]]*5%,"")</f>
        <v/>
      </c>
      <c r="I21" s="8" t="str">
        <f>IFERROR(Table1[[#This Row],[Rate]]*Table1[[#This Row],[Qty]]+Table1[[#This Row],[GST 5%]],"")</f>
        <v/>
      </c>
      <c r="K21" s="34" t="str">
        <f>IFERROR(IF(VLOOKUP(Table1[[#This Row],[HSN]],Table3[],5,0)&lt;Table1[[#This Row],[Qty]],"OUT OF STOCK ! "&amp;VLOOKUP(Table1[[#This Row],[HSN]],Table3[],5,0)&amp;" REMAINING QUANITITY",""),"")</f>
        <v/>
      </c>
    </row>
    <row r="22" spans="2:11" x14ac:dyDescent="0.35">
      <c r="B22" s="5"/>
      <c r="C22" s="6" t="str">
        <f>IF(Table1[[#This Row],[HSN]]="","",$H$9)</f>
        <v/>
      </c>
      <c r="D22" s="7"/>
      <c r="E22" s="6" t="str">
        <f>IFERROR(VLOOKUP(Table1[[#This Row],[HSN]],Table2[],3,0),"")</f>
        <v/>
      </c>
      <c r="F22" s="6" t="str">
        <f>IFERROR(VLOOKUP(Table1[[#This Row],[HSN]],Table2[],6,0),"")</f>
        <v/>
      </c>
      <c r="G22" s="6"/>
      <c r="H22" s="6" t="str">
        <f>IFERROR(Table1[[#This Row],[Rate]]*Table1[[#This Row],[Qty]]*5%,"")</f>
        <v/>
      </c>
      <c r="I22" s="8" t="str">
        <f>IFERROR(Table1[[#This Row],[Rate]]*Table1[[#This Row],[Qty]]+Table1[[#This Row],[GST 5%]],"")</f>
        <v/>
      </c>
      <c r="K22" s="34" t="str">
        <f>IFERROR(IF(VLOOKUP(Table1[[#This Row],[HSN]],Table3[],5,0)&lt;Table1[[#This Row],[Qty]],"OUT OF STOCK ! "&amp;VLOOKUP(Table1[[#This Row],[HSN]],Table3[],5,0)&amp;" REMAINING QUANITITY",""),"")</f>
        <v/>
      </c>
    </row>
    <row r="23" spans="2:11" x14ac:dyDescent="0.35">
      <c r="B23" s="5"/>
      <c r="C23" s="6" t="str">
        <f>IF(Table1[[#This Row],[HSN]]="","",$H$9)</f>
        <v/>
      </c>
      <c r="D23" s="7"/>
      <c r="E23" s="6" t="str">
        <f>IFERROR(VLOOKUP(Table1[[#This Row],[HSN]],Table2[],3,0),"")</f>
        <v/>
      </c>
      <c r="F23" s="6" t="str">
        <f>IFERROR(VLOOKUP(Table1[[#This Row],[HSN]],Table2[],6,0),"")</f>
        <v/>
      </c>
      <c r="G23" s="6"/>
      <c r="H23" s="6" t="str">
        <f>IFERROR(Table1[[#This Row],[Rate]]*Table1[[#This Row],[Qty]]*5%,"")</f>
        <v/>
      </c>
      <c r="I23" s="8" t="str">
        <f>IFERROR(Table1[[#This Row],[Rate]]*Table1[[#This Row],[Qty]]+Table1[[#This Row],[GST 5%]],"")</f>
        <v/>
      </c>
      <c r="K23" s="34" t="str">
        <f>IFERROR(IF(VLOOKUP(Table1[[#This Row],[HSN]],Table3[],5,0)&lt;Table1[[#This Row],[Qty]],"OUT OF STOCK ! "&amp;VLOOKUP(Table1[[#This Row],[HSN]],Table3[],5,0)&amp;" REMAINING QUANITITY",""),"")</f>
        <v/>
      </c>
    </row>
    <row r="24" spans="2:11" x14ac:dyDescent="0.35">
      <c r="B24" s="5"/>
      <c r="C24" s="6" t="str">
        <f>IF(Table1[[#This Row],[HSN]]="","",$H$9)</f>
        <v/>
      </c>
      <c r="D24" s="7"/>
      <c r="E24" s="6" t="str">
        <f>IFERROR(VLOOKUP(Table1[[#This Row],[HSN]],Table2[],3,0),"")</f>
        <v/>
      </c>
      <c r="F24" s="6" t="str">
        <f>IFERROR(VLOOKUP(Table1[[#This Row],[HSN]],Table2[],6,0),"")</f>
        <v/>
      </c>
      <c r="G24" s="6"/>
      <c r="H24" s="6" t="str">
        <f>IFERROR(Table1[[#This Row],[Rate]]*Table1[[#This Row],[Qty]]*5%,"")</f>
        <v/>
      </c>
      <c r="I24" s="8" t="str">
        <f>IFERROR(Table1[[#This Row],[Rate]]*Table1[[#This Row],[Qty]]+Table1[[#This Row],[GST 5%]],"")</f>
        <v/>
      </c>
      <c r="K24" s="34" t="str">
        <f>IFERROR(IF(VLOOKUP(Table1[[#This Row],[HSN]],Table3[],5,0)&lt;Table1[[#This Row],[Qty]],"OUT OF STOCK ! "&amp;VLOOKUP(Table1[[#This Row],[HSN]],Table3[],5,0)&amp;" REMAINING QUANITITY",""),"")</f>
        <v/>
      </c>
    </row>
    <row r="25" spans="2:11" x14ac:dyDescent="0.35">
      <c r="B25" s="5"/>
      <c r="C25" s="6" t="str">
        <f>IF(Table1[[#This Row],[HSN]]="","",$H$9)</f>
        <v/>
      </c>
      <c r="D25" s="7"/>
      <c r="E25" s="6" t="str">
        <f>IFERROR(VLOOKUP(Table1[[#This Row],[HSN]],Table2[],3,0),"")</f>
        <v/>
      </c>
      <c r="F25" s="6" t="str">
        <f>IFERROR(VLOOKUP(Table1[[#This Row],[HSN]],Table2[],6,0),"")</f>
        <v/>
      </c>
      <c r="G25" s="6"/>
      <c r="H25" s="6" t="str">
        <f>IFERROR(Table1[[#This Row],[Rate]]*Table1[[#This Row],[Qty]]*5%,"")</f>
        <v/>
      </c>
      <c r="I25" s="8" t="str">
        <f>IFERROR(Table1[[#This Row],[Rate]]*Table1[[#This Row],[Qty]]+Table1[[#This Row],[GST 5%]],"")</f>
        <v/>
      </c>
      <c r="K25" s="34" t="str">
        <f>IFERROR(IF(VLOOKUP(Table1[[#This Row],[HSN]],Table3[],5,0)&lt;Table1[[#This Row],[Qty]],"OUT OF STOCK ! "&amp;VLOOKUP(Table1[[#This Row],[HSN]],Table3[],5,0)&amp;" REMAINING QUANITITY",""),"")</f>
        <v/>
      </c>
    </row>
    <row r="26" spans="2:11" x14ac:dyDescent="0.35">
      <c r="B26" s="9"/>
      <c r="C26" s="10" t="str">
        <f>IF(Table1[[#This Row],[HSN]]="","",$H$9)</f>
        <v/>
      </c>
      <c r="D26" s="11"/>
      <c r="E26" s="10" t="str">
        <f>IFERROR(VLOOKUP(Table1[[#This Row],[HSN]],Table2[],3,0),"")</f>
        <v/>
      </c>
      <c r="F26" s="10" t="str">
        <f>IFERROR(VLOOKUP(Table1[[#This Row],[HSN]],Table2[],6,0),"")</f>
        <v/>
      </c>
      <c r="G26" s="10"/>
      <c r="H26" s="10" t="str">
        <f>IFERROR(Table1[[#This Row],[Rate]]*Table1[[#This Row],[Qty]]*5%,"")</f>
        <v/>
      </c>
      <c r="I26" s="12" t="str">
        <f>IFERROR(Table1[[#This Row],[Rate]]*Table1[[#This Row],[Qty]]+Table1[[#This Row],[GST 5%]],"")</f>
        <v/>
      </c>
      <c r="K26" s="34" t="str">
        <f>IFERROR(IF(VLOOKUP(Table1[[#This Row],[HSN]],Table3[],5,0)&lt;Table1[[#This Row],[Qty]],"OUT OF STOCK ! "&amp;VLOOKUP(Table1[[#This Row],[HSN]],Table3[],5,0)&amp;" REMAINING QUANITITY",""),"")</f>
        <v/>
      </c>
    </row>
    <row r="27" spans="2:11" x14ac:dyDescent="0.35">
      <c r="K27" t="str">
        <f>IFERROR(VLOOKUP(Table1[[#This Row],[HSN]],Table3[],5,0),"")</f>
        <v/>
      </c>
    </row>
    <row r="28" spans="2:11" x14ac:dyDescent="0.35">
      <c r="G28" s="42" t="s">
        <v>8</v>
      </c>
      <c r="H28" s="42"/>
      <c r="I28" s="3">
        <f>SUM(I16:I26)</f>
        <v>71400</v>
      </c>
      <c r="K28" t="str">
        <f>IFERROR(VLOOKUP(Table1[[#This Row],[HSN]],Table3[],5,0),"")</f>
        <v/>
      </c>
    </row>
    <row r="29" spans="2:11" x14ac:dyDescent="0.35">
      <c r="G29" s="31"/>
      <c r="H29" s="31"/>
      <c r="I29" s="39"/>
    </row>
    <row r="30" spans="2:11" x14ac:dyDescent="0.35">
      <c r="K30" t="str">
        <f>IFERROR(VLOOKUP(Table1[[#This Row],[HSN]],Table3[],5,0),"")</f>
        <v/>
      </c>
    </row>
    <row r="31" spans="2:11" x14ac:dyDescent="0.35">
      <c r="B31" s="50"/>
      <c r="C31" s="50"/>
      <c r="H31" s="50"/>
      <c r="I31" s="50"/>
      <c r="K31" t="str">
        <f>IFERROR(VLOOKUP(Table1[[#This Row],[HSN]],Table3[],5,0),"")</f>
        <v/>
      </c>
    </row>
    <row r="32" spans="2:11" x14ac:dyDescent="0.35">
      <c r="B32" s="51" t="s">
        <v>11</v>
      </c>
      <c r="C32" s="51"/>
      <c r="H32" s="49" t="s">
        <v>10</v>
      </c>
      <c r="I32" s="49"/>
      <c r="K32" t="str">
        <f>IFERROR(VLOOKUP(Table1[[#This Row],[HSN]],Table3[],5,0),"")</f>
        <v/>
      </c>
    </row>
    <row r="33" spans="2:11" x14ac:dyDescent="0.35">
      <c r="K33" t="str">
        <f>IFERROR(VLOOKUP(Table1[[#This Row],[HSN]],Table3[],5,0),"")</f>
        <v/>
      </c>
    </row>
    <row r="34" spans="2:11" x14ac:dyDescent="0.35">
      <c r="B34" s="48" t="s">
        <v>9</v>
      </c>
      <c r="C34" s="48"/>
      <c r="D34" s="48"/>
      <c r="E34" s="48"/>
      <c r="F34" s="48"/>
      <c r="G34" s="48"/>
      <c r="H34" s="48"/>
      <c r="I34" s="48"/>
      <c r="K34" t="str">
        <f>IFERROR(VLOOKUP(Table1[[#This Row],[HSN]],Table3[],5,0),"")</f>
        <v/>
      </c>
    </row>
    <row r="35" spans="2:11" x14ac:dyDescent="0.35">
      <c r="B35" s="48"/>
      <c r="C35" s="48"/>
      <c r="D35" s="48"/>
      <c r="E35" s="48"/>
      <c r="F35" s="48"/>
      <c r="G35" s="48"/>
      <c r="H35" s="48"/>
      <c r="I35" s="48"/>
      <c r="K35" t="str">
        <f>IFERROR(VLOOKUP(Table1[[#This Row],[HSN]],Table3[],5,0),"")</f>
        <v/>
      </c>
    </row>
    <row r="36" spans="2:11" x14ac:dyDescent="0.35">
      <c r="K36" t="str">
        <f>IFERROR(VLOOKUP(Table1[[#This Row],[HSN]],Table3[],5,0),"")</f>
        <v/>
      </c>
    </row>
    <row r="37" spans="2:11" x14ac:dyDescent="0.35">
      <c r="K37" t="str">
        <f>IFERROR(VLOOKUP(Table1[[#This Row],[HSN]],Table3[],5,0),"")</f>
        <v/>
      </c>
    </row>
  </sheetData>
  <mergeCells count="20">
    <mergeCell ref="B34:I35"/>
    <mergeCell ref="H32:I32"/>
    <mergeCell ref="B31:C31"/>
    <mergeCell ref="B32:C32"/>
    <mergeCell ref="H31:I31"/>
    <mergeCell ref="B3:I4"/>
    <mergeCell ref="B5:I5"/>
    <mergeCell ref="B7:I7"/>
    <mergeCell ref="G28:H28"/>
    <mergeCell ref="D9:E9"/>
    <mergeCell ref="D10:E10"/>
    <mergeCell ref="D11:E11"/>
    <mergeCell ref="D12:E12"/>
    <mergeCell ref="H9:I9"/>
    <mergeCell ref="H10:I10"/>
    <mergeCell ref="B6:C6"/>
    <mergeCell ref="B9:C9"/>
    <mergeCell ref="B10:C10"/>
    <mergeCell ref="B11:C11"/>
    <mergeCell ref="B12:C12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G7"/>
  <sheetViews>
    <sheetView zoomScale="110" zoomScaleNormal="110" workbookViewId="0">
      <selection activeCell="C6" sqref="C6"/>
    </sheetView>
  </sheetViews>
  <sheetFormatPr defaultRowHeight="14.5" x14ac:dyDescent="0.35"/>
  <cols>
    <col min="2" max="7" width="10.26953125" customWidth="1"/>
  </cols>
  <sheetData>
    <row r="2" spans="2:7" x14ac:dyDescent="0.35">
      <c r="B2" s="52" t="s">
        <v>16</v>
      </c>
      <c r="C2" s="52"/>
      <c r="D2" s="52"/>
      <c r="E2" s="52"/>
      <c r="F2" s="52"/>
      <c r="G2" s="52"/>
    </row>
    <row r="4" spans="2:7" x14ac:dyDescent="0.35">
      <c r="B4" s="27" t="s">
        <v>12</v>
      </c>
      <c r="C4" s="29" t="s">
        <v>5</v>
      </c>
      <c r="D4" s="29" t="s">
        <v>13</v>
      </c>
      <c r="E4" s="28" t="s">
        <v>36</v>
      </c>
      <c r="F4" s="28" t="s">
        <v>14</v>
      </c>
      <c r="G4" s="30" t="s">
        <v>15</v>
      </c>
    </row>
    <row r="5" spans="2:7" x14ac:dyDescent="0.35">
      <c r="B5" s="14" t="s">
        <v>17</v>
      </c>
      <c r="C5" s="15">
        <v>44562</v>
      </c>
      <c r="D5" s="4" t="s">
        <v>19</v>
      </c>
      <c r="E5" s="4">
        <v>120</v>
      </c>
      <c r="F5" s="38">
        <v>300</v>
      </c>
      <c r="G5" s="16">
        <v>170</v>
      </c>
    </row>
    <row r="6" spans="2:7" x14ac:dyDescent="0.35">
      <c r="B6" s="14" t="s">
        <v>18</v>
      </c>
      <c r="C6" s="15">
        <v>44594</v>
      </c>
      <c r="D6" s="4" t="s">
        <v>20</v>
      </c>
      <c r="E6" s="4">
        <v>120</v>
      </c>
      <c r="F6" s="4">
        <v>2800</v>
      </c>
      <c r="G6" s="16">
        <v>170</v>
      </c>
    </row>
    <row r="7" spans="2:7" x14ac:dyDescent="0.35">
      <c r="B7" s="17" t="s">
        <v>32</v>
      </c>
      <c r="C7" s="18">
        <v>44594</v>
      </c>
      <c r="D7" s="19" t="s">
        <v>33</v>
      </c>
      <c r="E7" s="19">
        <v>120</v>
      </c>
      <c r="F7" s="19">
        <v>12000</v>
      </c>
      <c r="G7" s="20">
        <v>170</v>
      </c>
    </row>
  </sheetData>
  <mergeCells count="1">
    <mergeCell ref="B2:G2"/>
  </mergeCell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3:I32"/>
  <sheetViews>
    <sheetView topLeftCell="A2" zoomScaleNormal="100" workbookViewId="0">
      <selection activeCell="B4" sqref="B4"/>
    </sheetView>
  </sheetViews>
  <sheetFormatPr defaultRowHeight="14.5" x14ac:dyDescent="0.35"/>
  <cols>
    <col min="2" max="9" width="10.26953125" customWidth="1"/>
  </cols>
  <sheetData>
    <row r="3" spans="2:9" x14ac:dyDescent="0.35">
      <c r="B3" s="23" t="s">
        <v>21</v>
      </c>
      <c r="C3" s="24" t="s">
        <v>22</v>
      </c>
      <c r="D3" s="25" t="s">
        <v>23</v>
      </c>
      <c r="E3" s="25" t="s">
        <v>13</v>
      </c>
      <c r="F3" s="25" t="s">
        <v>24</v>
      </c>
      <c r="G3" s="25" t="s">
        <v>27</v>
      </c>
      <c r="H3" s="25" t="s">
        <v>25</v>
      </c>
      <c r="I3" s="26" t="s">
        <v>26</v>
      </c>
    </row>
    <row r="4" spans="2:9" x14ac:dyDescent="0.35">
      <c r="B4">
        <v>1</v>
      </c>
      <c r="C4">
        <v>6</v>
      </c>
      <c r="D4" t="s">
        <v>18</v>
      </c>
      <c r="E4" t="s">
        <v>20</v>
      </c>
      <c r="F4">
        <v>170</v>
      </c>
      <c r="G4">
        <v>200000</v>
      </c>
      <c r="H4">
        <v>1700000</v>
      </c>
      <c r="I4">
        <v>35700000</v>
      </c>
    </row>
    <row r="5" spans="2:9" x14ac:dyDescent="0.35">
      <c r="C5" t="s">
        <v>39</v>
      </c>
      <c r="E5" t="s">
        <v>39</v>
      </c>
      <c r="F5" t="s">
        <v>39</v>
      </c>
      <c r="H5" t="s">
        <v>39</v>
      </c>
      <c r="I5" t="s">
        <v>39</v>
      </c>
    </row>
    <row r="6" spans="2:9" x14ac:dyDescent="0.35">
      <c r="B6">
        <v>1</v>
      </c>
      <c r="C6">
        <v>5</v>
      </c>
      <c r="D6" t="s">
        <v>18</v>
      </c>
      <c r="E6" t="s">
        <v>20</v>
      </c>
      <c r="F6">
        <v>170</v>
      </c>
      <c r="G6">
        <v>14000</v>
      </c>
      <c r="H6">
        <v>119000</v>
      </c>
      <c r="I6">
        <v>2499000</v>
      </c>
    </row>
    <row r="7" spans="2:9" x14ac:dyDescent="0.35">
      <c r="C7" t="s">
        <v>39</v>
      </c>
      <c r="E7" t="s">
        <v>39</v>
      </c>
      <c r="F7" t="s">
        <v>39</v>
      </c>
      <c r="H7" t="s">
        <v>39</v>
      </c>
      <c r="I7" t="s">
        <v>39</v>
      </c>
    </row>
    <row r="8" spans="2:9" x14ac:dyDescent="0.35">
      <c r="C8" t="s">
        <v>39</v>
      </c>
      <c r="E8" t="s">
        <v>39</v>
      </c>
      <c r="F8" t="s">
        <v>39</v>
      </c>
      <c r="H8" t="s">
        <v>39</v>
      </c>
      <c r="I8" t="s">
        <v>39</v>
      </c>
    </row>
    <row r="9" spans="2:9" x14ac:dyDescent="0.35">
      <c r="C9" t="s">
        <v>39</v>
      </c>
      <c r="E9" t="s">
        <v>39</v>
      </c>
      <c r="F9" t="s">
        <v>39</v>
      </c>
      <c r="H9" t="s">
        <v>39</v>
      </c>
      <c r="I9" t="s">
        <v>39</v>
      </c>
    </row>
    <row r="10" spans="2:9" x14ac:dyDescent="0.35">
      <c r="C10" t="s">
        <v>39</v>
      </c>
      <c r="E10" t="s">
        <v>39</v>
      </c>
      <c r="F10" t="s">
        <v>39</v>
      </c>
      <c r="H10" t="s">
        <v>39</v>
      </c>
      <c r="I10" t="s">
        <v>39</v>
      </c>
    </row>
    <row r="11" spans="2:9" x14ac:dyDescent="0.35">
      <c r="C11" t="s">
        <v>39</v>
      </c>
      <c r="E11" t="s">
        <v>39</v>
      </c>
      <c r="F11" t="s">
        <v>39</v>
      </c>
      <c r="H11" t="s">
        <v>39</v>
      </c>
      <c r="I11" t="s">
        <v>39</v>
      </c>
    </row>
    <row r="12" spans="2:9" x14ac:dyDescent="0.35">
      <c r="B12">
        <v>1</v>
      </c>
      <c r="C12">
        <v>4</v>
      </c>
      <c r="D12" t="s">
        <v>17</v>
      </c>
      <c r="E12" t="s">
        <v>19</v>
      </c>
      <c r="F12">
        <v>170</v>
      </c>
      <c r="G12">
        <v>122</v>
      </c>
      <c r="H12">
        <v>1037</v>
      </c>
      <c r="I12">
        <v>21777</v>
      </c>
    </row>
    <row r="13" spans="2:9" x14ac:dyDescent="0.35">
      <c r="C13" t="s">
        <v>39</v>
      </c>
      <c r="E13" t="s">
        <v>39</v>
      </c>
      <c r="F13" t="s">
        <v>39</v>
      </c>
      <c r="H13" t="s">
        <v>39</v>
      </c>
      <c r="I13" t="s">
        <v>39</v>
      </c>
    </row>
    <row r="14" spans="2:9" x14ac:dyDescent="0.35">
      <c r="B14">
        <v>1</v>
      </c>
      <c r="C14">
        <v>3</v>
      </c>
      <c r="D14" t="s">
        <v>17</v>
      </c>
      <c r="E14" t="s">
        <v>19</v>
      </c>
      <c r="F14">
        <v>170</v>
      </c>
      <c r="G14">
        <v>12</v>
      </c>
      <c r="H14">
        <v>102</v>
      </c>
      <c r="I14">
        <v>2142</v>
      </c>
    </row>
    <row r="15" spans="2:9" x14ac:dyDescent="0.35">
      <c r="C15" t="s">
        <v>39</v>
      </c>
      <c r="E15" t="s">
        <v>39</v>
      </c>
      <c r="F15" t="s">
        <v>39</v>
      </c>
      <c r="H15" t="s">
        <v>39</v>
      </c>
      <c r="I15" t="s">
        <v>39</v>
      </c>
    </row>
    <row r="16" spans="2:9" x14ac:dyDescent="0.35">
      <c r="B16">
        <v>1</v>
      </c>
      <c r="C16">
        <v>2</v>
      </c>
      <c r="D16" t="s">
        <v>32</v>
      </c>
      <c r="E16" t="s">
        <v>33</v>
      </c>
      <c r="F16">
        <v>170</v>
      </c>
      <c r="G16">
        <v>32</v>
      </c>
      <c r="H16">
        <v>272</v>
      </c>
      <c r="I16">
        <v>5712</v>
      </c>
    </row>
    <row r="17" spans="2:9" x14ac:dyDescent="0.35">
      <c r="B17">
        <v>2</v>
      </c>
      <c r="C17">
        <v>2</v>
      </c>
      <c r="D17" t="s">
        <v>18</v>
      </c>
      <c r="E17" t="s">
        <v>20</v>
      </c>
      <c r="F17">
        <v>170</v>
      </c>
      <c r="G17">
        <v>31</v>
      </c>
      <c r="H17">
        <v>263.5</v>
      </c>
      <c r="I17">
        <v>5533.5</v>
      </c>
    </row>
    <row r="18" spans="2:9" x14ac:dyDescent="0.35">
      <c r="B18">
        <v>1</v>
      </c>
      <c r="C18">
        <v>1</v>
      </c>
      <c r="D18" t="s">
        <v>37</v>
      </c>
      <c r="E18" t="s">
        <v>20</v>
      </c>
      <c r="F18">
        <v>170</v>
      </c>
      <c r="G18">
        <v>3</v>
      </c>
      <c r="H18">
        <v>25.5</v>
      </c>
      <c r="I18">
        <v>535.5</v>
      </c>
    </row>
    <row r="19" spans="2:9" x14ac:dyDescent="0.35">
      <c r="B19">
        <v>2</v>
      </c>
      <c r="C19">
        <v>1</v>
      </c>
      <c r="D19" t="s">
        <v>38</v>
      </c>
      <c r="E19" t="s">
        <v>33</v>
      </c>
      <c r="F19">
        <v>170</v>
      </c>
      <c r="G19">
        <v>4</v>
      </c>
      <c r="H19">
        <v>34</v>
      </c>
      <c r="I19">
        <v>714</v>
      </c>
    </row>
    <row r="22" spans="2:9" x14ac:dyDescent="0.35">
      <c r="B22" s="33"/>
      <c r="C22" s="33"/>
      <c r="D22" s="33"/>
      <c r="E22" s="33"/>
      <c r="F22" s="33"/>
      <c r="G22" s="33"/>
      <c r="H22" s="33"/>
      <c r="I22" s="33"/>
    </row>
    <row r="23" spans="2:9" x14ac:dyDescent="0.35">
      <c r="B23" s="33"/>
      <c r="C23" s="33"/>
      <c r="D23" s="33"/>
      <c r="E23" s="33"/>
      <c r="F23" s="33"/>
      <c r="G23" s="33"/>
      <c r="H23" s="33"/>
      <c r="I23" s="33"/>
    </row>
    <row r="24" spans="2:9" x14ac:dyDescent="0.35">
      <c r="B24" s="33"/>
      <c r="C24" s="33"/>
      <c r="D24" s="33"/>
      <c r="E24" s="33"/>
      <c r="F24" s="33"/>
      <c r="G24" s="33"/>
      <c r="H24" s="33"/>
      <c r="I24" s="33"/>
    </row>
    <row r="32" spans="2:9" x14ac:dyDescent="0.35">
      <c r="B32" s="13"/>
      <c r="C32" s="13"/>
      <c r="D32" s="13"/>
      <c r="E32" s="13"/>
      <c r="F32" s="13"/>
      <c r="G32" s="13"/>
      <c r="H32" s="13"/>
      <c r="I32" s="13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J13"/>
  <sheetViews>
    <sheetView zoomScaleNormal="100" workbookViewId="0">
      <selection activeCell="I8" sqref="I8"/>
    </sheetView>
  </sheetViews>
  <sheetFormatPr defaultRowHeight="14.5" x14ac:dyDescent="0.35"/>
  <cols>
    <col min="2" max="2" width="11.453125" customWidth="1"/>
    <col min="3" max="6" width="12.453125" customWidth="1"/>
    <col min="8" max="8" width="12.90625" bestFit="1" customWidth="1"/>
  </cols>
  <sheetData>
    <row r="1" spans="2:10" ht="15.5" x14ac:dyDescent="0.35">
      <c r="B1" s="53" t="s">
        <v>41</v>
      </c>
      <c r="C1" s="41"/>
    </row>
    <row r="3" spans="2:10" x14ac:dyDescent="0.35">
      <c r="B3" s="22" t="s">
        <v>28</v>
      </c>
      <c r="C3" s="22" t="s">
        <v>34</v>
      </c>
      <c r="D3" s="22" t="s">
        <v>29</v>
      </c>
      <c r="E3" s="22" t="s">
        <v>30</v>
      </c>
      <c r="F3" s="22" t="s">
        <v>31</v>
      </c>
      <c r="H3" s="21" t="s">
        <v>28</v>
      </c>
    </row>
    <row r="4" spans="2:10" x14ac:dyDescent="0.35">
      <c r="B4" s="14" t="s">
        <v>17</v>
      </c>
      <c r="C4" s="4" t="str">
        <f>IFERROR(VLOOKUP(Table3[[#This Row],[HSN CODE]],Table2[],3,0),"")</f>
        <v>mouse</v>
      </c>
      <c r="D4" s="4">
        <f>SUMIF(Table2[Item],Table3[[#This Row],[item]],Table2[P Qty])</f>
        <v>300</v>
      </c>
      <c r="E4" s="4">
        <f>IFERROR(SUMIF(Table9[Item],Table3[[#This Row],[item]],Table9[Qty]),"")</f>
        <v>134</v>
      </c>
      <c r="F4" s="4">
        <f>Table3[[#This Row],[Purchase Qty]]-Table3[[#This Row],[Sale Qty]]</f>
        <v>166</v>
      </c>
    </row>
    <row r="5" spans="2:10" x14ac:dyDescent="0.35">
      <c r="B5" s="14" t="s">
        <v>18</v>
      </c>
      <c r="C5" s="4" t="str">
        <f>IFERROR(VLOOKUP(Table3[[#This Row],[HSN CODE]],Table2[],3,0),"")</f>
        <v>keyboard</v>
      </c>
      <c r="D5" s="4">
        <v>2800</v>
      </c>
      <c r="E5" s="4">
        <v>21</v>
      </c>
      <c r="F5" s="4">
        <f>Table3[[#This Row],[Purchase Qty]]-Table3[[#This Row],[Sale Qty]]</f>
        <v>2779</v>
      </c>
    </row>
    <row r="6" spans="2:10" x14ac:dyDescent="0.35">
      <c r="B6" s="17" t="s">
        <v>32</v>
      </c>
      <c r="C6" s="4" t="str">
        <f>IFERROR(VLOOKUP(Table3[[#This Row],[HSN CODE]],Table2[],3,0),"")</f>
        <v>monitor</v>
      </c>
      <c r="D6" s="4">
        <f>SUMIF(Table2[Item],Table3[[#This Row],[item]],Table2[P Qty])</f>
        <v>12000</v>
      </c>
      <c r="E6" s="4">
        <f>IFERROR(SUMIF(Table9[Item],Table3[[#This Row],[item]],Table9[Qty]),"")</f>
        <v>36</v>
      </c>
      <c r="F6" s="4">
        <f>Table3[[#This Row],[Purchase Qty]]-Table3[[#This Row],[Sale Qty]]</f>
        <v>11964</v>
      </c>
    </row>
    <row r="7" spans="2:10" x14ac:dyDescent="0.35">
      <c r="B7" s="4"/>
      <c r="C7" s="4" t="str">
        <f>IFERROR(VLOOKUP(Table3[[#This Row],[HSN CODE]],Table2[],3,0),"")</f>
        <v/>
      </c>
      <c r="D7" s="4">
        <f>SUMIF(Table2[Item],Table3[[#This Row],[item]],Table2[P Qty])</f>
        <v>0</v>
      </c>
      <c r="E7" s="4">
        <f>IFERROR(SUMIF(Table9[Item],Table3[[#This Row],[item]],Table9[Qty]),"")</f>
        <v>0</v>
      </c>
      <c r="F7" s="4">
        <f>Table3[[#This Row],[Purchase Qty]]-Table3[[#This Row],[Sale Qty]]</f>
        <v>0</v>
      </c>
    </row>
    <row r="8" spans="2:10" x14ac:dyDescent="0.35">
      <c r="B8" s="4"/>
      <c r="C8" s="4" t="str">
        <f>IFERROR(VLOOKUP(Table3[[#This Row],[HSN CODE]],Table2[],3,0),"")</f>
        <v/>
      </c>
      <c r="D8" s="4">
        <f>SUMIF(Table2[Item],Table3[[#This Row],[item]],Table2[P Qty])</f>
        <v>0</v>
      </c>
      <c r="E8" s="4">
        <f>IFERROR(SUMIF(Table9[Item],Table3[[#This Row],[item]],Table9[Qty]),"")</f>
        <v>0</v>
      </c>
      <c r="F8" s="4">
        <f>Table3[[#This Row],[Purchase Qty]]-Table3[[#This Row],[Sale Qty]]</f>
        <v>0</v>
      </c>
    </row>
    <row r="9" spans="2:10" x14ac:dyDescent="0.35">
      <c r="B9" s="4"/>
      <c r="C9" s="4" t="str">
        <f>IFERROR(VLOOKUP(Table3[[#This Row],[HSN CODE]],Table2[],3,0),"")</f>
        <v/>
      </c>
      <c r="D9" s="4">
        <f>SUMIF(Table2[Item],Table3[[#This Row],[item]],Table2[P Qty])</f>
        <v>0</v>
      </c>
      <c r="E9" s="4">
        <f>IFERROR(SUMIF(Table9[Item],Table3[[#This Row],[item]],Table9[Qty]),"")</f>
        <v>0</v>
      </c>
      <c r="F9" s="4">
        <f>Table3[[#This Row],[Purchase Qty]]-Table3[[#This Row],[Sale Qty]]</f>
        <v>0</v>
      </c>
    </row>
    <row r="10" spans="2:10" x14ac:dyDescent="0.35">
      <c r="B10" s="4"/>
      <c r="C10" s="4" t="str">
        <f>IFERROR(VLOOKUP(Table3[[#This Row],[HSN CODE]],Table2[],3,0),"")</f>
        <v/>
      </c>
      <c r="D10" s="4">
        <f>SUMIF(Table2[Item],Table3[[#This Row],[item]],Table2[P Qty])</f>
        <v>0</v>
      </c>
      <c r="E10" s="4">
        <f>IFERROR(SUMIF(Table9[Item],Table3[[#This Row],[item]],Table9[Qty]),"")</f>
        <v>0</v>
      </c>
      <c r="F10" s="4">
        <f>Table3[[#This Row],[Purchase Qty]]-Table3[[#This Row],[Sale Qty]]</f>
        <v>0</v>
      </c>
    </row>
    <row r="13" spans="2:10" ht="23.5" x14ac:dyDescent="0.55000000000000004">
      <c r="F13" s="32"/>
      <c r="G13" s="36" t="s">
        <v>43</v>
      </c>
      <c r="H13" s="36" t="s">
        <v>42</v>
      </c>
      <c r="I13" s="35"/>
      <c r="J13" s="36"/>
    </row>
  </sheetData>
  <mergeCells count="1">
    <mergeCell ref="B1:C1"/>
  </mergeCells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7:H8"/>
  <sheetViews>
    <sheetView zoomScaleNormal="100" workbookViewId="0">
      <selection activeCell="A7" sqref="A7:H8"/>
    </sheetView>
  </sheetViews>
  <sheetFormatPr defaultRowHeight="14.5" x14ac:dyDescent="0.35"/>
  <sheetData>
    <row r="7" spans="1:8" x14ac:dyDescent="0.35">
      <c r="A7">
        <v>1</v>
      </c>
      <c r="B7">
        <v>6</v>
      </c>
      <c r="C7" t="s">
        <v>18</v>
      </c>
      <c r="D7" t="s">
        <v>20</v>
      </c>
      <c r="E7">
        <v>170</v>
      </c>
      <c r="F7">
        <v>200000</v>
      </c>
      <c r="G7">
        <v>1700000</v>
      </c>
      <c r="H7">
        <v>35700000</v>
      </c>
    </row>
    <row r="8" spans="1:8" x14ac:dyDescent="0.35">
      <c r="B8" t="s">
        <v>39</v>
      </c>
      <c r="D8" t="s">
        <v>39</v>
      </c>
      <c r="E8" t="s">
        <v>39</v>
      </c>
      <c r="G8" t="s">
        <v>39</v>
      </c>
      <c r="H8" t="s">
        <v>39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Invoice</vt:lpstr>
      <vt:lpstr>Purchase</vt:lpstr>
      <vt:lpstr>Sale</vt:lpstr>
      <vt:lpstr>Stock</vt:lpstr>
      <vt:lpstr>Sheet1</vt:lpstr>
      <vt:lpstr>Stock!Criteria</vt:lpstr>
      <vt:lpstr>Stock!Extract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HARIS LAPTOPS</dc:creator>
  <cp:lastModifiedBy>HARIS LAPTOPS</cp:lastModifiedBy>
  <cp:lastPrinted>2025-01-08T15:37:55Z</cp:lastPrinted>
  <dcterms:created xsi:type="dcterms:W3CDTF">2025-01-06T13:47:11Z</dcterms:created>
  <dcterms:modified xsi:type="dcterms:W3CDTF">2025-01-08T15:43:56Z</dcterms:modified>
</cp:coreProperties>
</file>